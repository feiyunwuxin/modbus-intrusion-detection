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阅对照表" sheetId="1" state="visible" r:id="rId1"/>
    <sheet xmlns:r="http://schemas.openxmlformats.org/officeDocument/2006/relationships" name="评分汇总" sheetId="2" state="visible" r:id="rId2"/>
    <sheet xmlns:r="http://schemas.openxmlformats.org/officeDocument/2006/relationships" name="评分标准" sheetId="3" state="visible" r:id="rId3"/>
    <sheet xmlns:r="http://schemas.openxmlformats.org/officeDocument/2006/relationships" name="使用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黑体"/>
      <b val="1"/>
      <color rgb="00FFFFFF"/>
      <sz val="11"/>
    </font>
    <font>
      <b val="1"/>
    </font>
    <font>
      <b val="1"/>
      <sz val="12"/>
    </font>
    <font>
      <b val="1"/>
      <color rgb="00C00000"/>
      <sz val="12"/>
    </font>
    <font>
      <i val="1"/>
      <color rgb="00808080"/>
    </font>
    <font>
      <name val="黑体"/>
      <b val="1"/>
      <color rgb="00FFFFFF"/>
      <sz val="14"/>
    </font>
    <font>
      <b val="1"/>
      <color rgb="00FFFFFF"/>
      <sz val="12"/>
    </font>
    <font>
      <b val="1"/>
      <color rgb="00C00000"/>
    </font>
    <font>
      <i val="1"/>
      <color rgb="00606060"/>
    </font>
    <font>
      <b val="1"/>
      <color rgb="001F4E78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medium">
        <color rgb="001F4E78"/>
      </top>
      <bottom style="medium">
        <color rgb="001F4E78"/>
      </bottom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right" vertical="center"/>
    </xf>
    <xf numFmtId="0" fontId="0" fillId="6" borderId="3" pivotButton="0" quotePrefix="0" xfId="0"/>
    <xf numFmtId="0" fontId="4" fillId="6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right" vertical="center"/>
    </xf>
    <xf numFmtId="0" fontId="12" fillId="2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ill>
        <patternFill patternType="solid">
          <fgColor rgb="00FFEB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5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30" customWidth="1" min="10" max="10"/>
  </cols>
  <sheetData>
    <row r="1" ht="30" customHeight="1">
      <c r="A1" s="1" t="inlineStr">
        <is>
          <t>编号</t>
        </is>
      </c>
      <c r="B1" s="1" t="inlineStr">
        <is>
          <t>类别</t>
        </is>
      </c>
      <c r="C1" s="1" t="inlineStr">
        <is>
          <t>子项</t>
        </is>
      </c>
      <c r="D1" s="1" t="inlineStr">
        <is>
          <t>典型症状 / 描述</t>
        </is>
      </c>
      <c r="E1" s="1" t="inlineStr">
        <is>
          <t>严重度</t>
        </is>
      </c>
      <c r="F1" s="1" t="inlineStr">
        <is>
          <t>默认扣分</t>
        </is>
      </c>
      <c r="G1" s="1" t="inlineStr">
        <is>
          <t>是否出现</t>
        </is>
      </c>
      <c r="H1" s="1" t="inlineStr">
        <is>
          <t>实际扣分</t>
        </is>
      </c>
      <c r="I1" s="1" t="inlineStr">
        <is>
          <t>出现位置</t>
        </is>
      </c>
      <c r="J1" s="1" t="inlineStr">
        <is>
          <t>老师备注</t>
        </is>
      </c>
    </row>
    <row r="2" ht="35" customHeight="1">
      <c r="A2" s="2" t="inlineStr">
        <is>
          <t>P-0.1</t>
        </is>
      </c>
      <c r="B2" s="2" t="inlineStr">
        <is>
          <t>整体框架</t>
        </is>
      </c>
      <c r="C2" s="2" t="inlineStr">
        <is>
          <t>章节逻辑</t>
        </is>
      </c>
      <c r="D2" s="3" t="inlineStr">
        <is>
          <t>第 3 章讲 A，第 4 章突然讲 B，缺乏 A→B 必然性</t>
        </is>
      </c>
      <c r="E2" s="4" t="n">
        <v>2</v>
      </c>
      <c r="F2" s="3" t="n">
        <v>1</v>
      </c>
      <c r="G2" s="3" t="inlineStr">
        <is>
          <t>否</t>
        </is>
      </c>
      <c r="H2" s="3">
        <f>IF(G2="是",F2,IF(G2="部分",F2*0.5,0))</f>
        <v/>
      </c>
      <c r="I2" s="3" t="inlineStr"/>
      <c r="J2" s="3" t="inlineStr"/>
    </row>
    <row r="3" ht="35" customHeight="1">
      <c r="A3" s="2" t="inlineStr">
        <is>
          <t>P-0.2</t>
        </is>
      </c>
      <c r="B3" s="2" t="inlineStr">
        <is>
          <t>整体框架</t>
        </is>
      </c>
      <c r="C3" s="2" t="inlineStr">
        <is>
          <t>创新点量化</t>
        </is>
      </c>
      <c r="D3" s="3" t="inlineStr">
        <is>
          <t>创新点无具体指标，仅"该方法有效"</t>
        </is>
      </c>
      <c r="E3" s="5" t="n">
        <v>3</v>
      </c>
      <c r="F3" s="3" t="n">
        <v>1.5</v>
      </c>
      <c r="G3" s="3" t="inlineStr">
        <is>
          <t>否</t>
        </is>
      </c>
      <c r="H3" s="3">
        <f>IF(G3="是",F3,IF(G3="部分",F3*0.5,0))</f>
        <v/>
      </c>
      <c r="I3" s="3" t="inlineStr"/>
      <c r="J3" s="3" t="inlineStr"/>
    </row>
    <row r="4" ht="35" customHeight="1">
      <c r="A4" s="2" t="inlineStr">
        <is>
          <t>P-0.3</t>
        </is>
      </c>
      <c r="B4" s="2" t="inlineStr">
        <is>
          <t>整体框架</t>
        </is>
      </c>
      <c r="C4" s="2" t="inlineStr">
        <is>
          <t>贡献度位置</t>
        </is>
      </c>
      <c r="D4" s="3" t="inlineStr">
        <is>
          <t>创新点放在第 1 章末但摘要无对应；或放在第 6 章</t>
        </is>
      </c>
      <c r="E4" s="4" t="n">
        <v>2</v>
      </c>
      <c r="F4" s="3" t="n">
        <v>1</v>
      </c>
      <c r="G4" s="3" t="inlineStr">
        <is>
          <t>否</t>
        </is>
      </c>
      <c r="H4" s="3">
        <f>IF(G4="是",F4,IF(G4="部分",F4*0.5,0))</f>
        <v/>
      </c>
      <c r="I4" s="3" t="inlineStr"/>
      <c r="J4" s="3" t="inlineStr"/>
    </row>
    <row r="5" ht="35" customHeight="1">
      <c r="A5" s="2" t="inlineStr">
        <is>
          <t>P-0.4</t>
        </is>
      </c>
      <c r="B5" s="2" t="inlineStr">
        <is>
          <t>整体框架</t>
        </is>
      </c>
      <c r="C5" s="2" t="inlineStr">
        <is>
          <t>论文长度</t>
        </is>
      </c>
      <c r="D5" s="3" t="inlineStr">
        <is>
          <t>正文 30 页（太少）或 100 页（太多）</t>
        </is>
      </c>
      <c r="E5" s="6" t="n">
        <v>1</v>
      </c>
      <c r="F5" s="3" t="n">
        <v>0.5</v>
      </c>
      <c r="G5" s="3" t="inlineStr">
        <is>
          <t>否</t>
        </is>
      </c>
      <c r="H5" s="3">
        <f>IF(G5="是",F5,IF(G5="部分",F5*0.5,0))</f>
        <v/>
      </c>
      <c r="I5" s="3" t="inlineStr"/>
      <c r="J5" s="3" t="inlineStr"/>
    </row>
    <row r="6" ht="35" customHeight="1">
      <c r="A6" s="2" t="inlineStr">
        <is>
          <t>P-0.5</t>
        </is>
      </c>
      <c r="B6" s="2" t="inlineStr">
        <is>
          <t>整体框架</t>
        </is>
      </c>
      <c r="C6" s="2" t="inlineStr">
        <is>
          <t>摘要结构</t>
        </is>
      </c>
      <c r="D6" s="3" t="inlineStr">
        <is>
          <t>摘要 = 第 1 章浓缩，缺 4 段式结构</t>
        </is>
      </c>
      <c r="E6" s="4" t="n">
        <v>2</v>
      </c>
      <c r="F6" s="3" t="n">
        <v>1</v>
      </c>
      <c r="G6" s="3" t="inlineStr">
        <is>
          <t>否</t>
        </is>
      </c>
      <c r="H6" s="3">
        <f>IF(G6="是",F6,IF(G6="部分",F6*0.5,0))</f>
        <v/>
      </c>
      <c r="I6" s="3" t="inlineStr"/>
      <c r="J6" s="3" t="inlineStr"/>
    </row>
    <row r="7" ht="35" customHeight="1">
      <c r="A7" s="2" t="inlineStr">
        <is>
          <t>P-1.1</t>
        </is>
      </c>
      <c r="B7" s="2" t="inlineStr">
        <is>
          <t>摘要目录</t>
        </is>
      </c>
      <c r="C7" s="2" t="inlineStr">
        <is>
          <t>数据出处</t>
        </is>
      </c>
      <c r="D7" s="3" t="inlineStr">
        <is>
          <t>"据统计"、"研究表明"无引用 [n]</t>
        </is>
      </c>
      <c r="E7" s="6" t="n">
        <v>1</v>
      </c>
      <c r="F7" s="3" t="n">
        <v>0.5</v>
      </c>
      <c r="G7" s="3" t="inlineStr">
        <is>
          <t>否</t>
        </is>
      </c>
      <c r="H7" s="3">
        <f>IF(G7="是",F7,IF(G7="部分",F7*0.5,0))</f>
        <v/>
      </c>
      <c r="I7" s="3" t="inlineStr"/>
      <c r="J7" s="3" t="inlineStr"/>
    </row>
    <row r="8" ht="35" customHeight="1">
      <c r="A8" s="2" t="inlineStr">
        <is>
          <t>P-1.2</t>
        </is>
      </c>
      <c r="B8" s="2" t="inlineStr">
        <is>
          <t>摘要目录</t>
        </is>
      </c>
      <c r="C8" s="2" t="inlineStr">
        <is>
          <t>指标一致性</t>
        </is>
      </c>
      <c r="D8" s="3" t="inlineStr">
        <is>
          <t>摘要写"F1=0.8340"正文写"0.8337"</t>
        </is>
      </c>
      <c r="E8" s="5" t="n">
        <v>3</v>
      </c>
      <c r="F8" s="3" t="n">
        <v>1.5</v>
      </c>
      <c r="G8" s="3" t="inlineStr">
        <is>
          <t>否</t>
        </is>
      </c>
      <c r="H8" s="3">
        <f>IF(G8="是",F8,IF(G8="部分",F8*0.5,0))</f>
        <v/>
      </c>
      <c r="I8" s="3" t="inlineStr"/>
      <c r="J8" s="3" t="inlineStr"/>
    </row>
    <row r="9" ht="35" customHeight="1">
      <c r="A9" s="2" t="inlineStr">
        <is>
          <t>P-1.3</t>
        </is>
      </c>
      <c r="B9" s="2" t="inlineStr">
        <is>
          <t>摘要目录</t>
        </is>
      </c>
      <c r="C9" s="2" t="inlineStr">
        <is>
          <t>关键词</t>
        </is>
      </c>
      <c r="D9" s="3" t="inlineStr">
        <is>
          <t>关键词 &lt; 5 个或堆砌通用词</t>
        </is>
      </c>
      <c r="E9" s="6" t="n">
        <v>1</v>
      </c>
      <c r="F9" s="3" t="n">
        <v>0.5</v>
      </c>
      <c r="G9" s="3" t="inlineStr">
        <is>
          <t>否</t>
        </is>
      </c>
      <c r="H9" s="3">
        <f>IF(G9="是",F9,IF(G9="部分",F9*0.5,0))</f>
        <v/>
      </c>
      <c r="I9" s="3" t="inlineStr"/>
      <c r="J9" s="3" t="inlineStr"/>
    </row>
    <row r="10" ht="35" customHeight="1">
      <c r="A10" s="2" t="inlineStr">
        <is>
          <t>P-1.4</t>
        </is>
      </c>
      <c r="B10" s="2" t="inlineStr">
        <is>
          <t>摘要目录</t>
        </is>
      </c>
      <c r="C10" s="2" t="inlineStr">
        <is>
          <t>章节编号</t>
        </is>
      </c>
      <c r="D10" s="3" t="inlineStr">
        <is>
          <t>章用阿拉伯、节用中文，混用</t>
        </is>
      </c>
      <c r="E10" s="6" t="n">
        <v>1</v>
      </c>
      <c r="F10" s="3" t="n">
        <v>0.5</v>
      </c>
      <c r="G10" s="3" t="inlineStr">
        <is>
          <t>否</t>
        </is>
      </c>
      <c r="H10" s="3">
        <f>IF(G10="是",F10,IF(G10="部分",F10*0.5,0))</f>
        <v/>
      </c>
      <c r="I10" s="3" t="inlineStr"/>
      <c r="J10" s="3" t="inlineStr"/>
    </row>
    <row r="11" ht="35" customHeight="1">
      <c r="A11" s="2" t="inlineStr">
        <is>
          <t>P-1.5</t>
        </is>
      </c>
      <c r="B11" s="2" t="inlineStr">
        <is>
          <t>第 1 章</t>
        </is>
      </c>
      <c r="C11" s="2" t="inlineStr">
        <is>
          <t>创新对应</t>
        </is>
      </c>
      <c r="D11" s="3" t="inlineStr">
        <is>
          <t>创新点未标"（对应第 X 章）"，且章节无回指</t>
        </is>
      </c>
      <c r="E11" s="4" t="n">
        <v>2</v>
      </c>
      <c r="F11" s="3" t="n">
        <v>1</v>
      </c>
      <c r="G11" s="3" t="inlineStr">
        <is>
          <t>否</t>
        </is>
      </c>
      <c r="H11" s="3">
        <f>IF(G11="是",F11,IF(G11="部分",F11*0.5,0))</f>
        <v/>
      </c>
      <c r="I11" s="3" t="inlineStr"/>
      <c r="J11" s="3" t="inlineStr"/>
    </row>
    <row r="12" ht="35" customHeight="1">
      <c r="A12" s="2" t="inlineStr">
        <is>
          <t>P-1.6</t>
        </is>
      </c>
      <c r="B12" s="2" t="inlineStr">
        <is>
          <t>第 1 章</t>
        </is>
      </c>
      <c r="C12" s="2" t="inlineStr">
        <is>
          <t>虚大空</t>
        </is>
      </c>
      <c r="D12" s="3" t="inlineStr">
        <is>
          <t>"首次"、"首创"、"国际领先"无引文支撑</t>
        </is>
      </c>
      <c r="E12" s="5" t="n">
        <v>3</v>
      </c>
      <c r="F12" s="3" t="n">
        <v>1.5</v>
      </c>
      <c r="G12" s="3" t="inlineStr">
        <is>
          <t>否</t>
        </is>
      </c>
      <c r="H12" s="3">
        <f>IF(G12="是",F12,IF(G12="部分",F12*0.5,0))</f>
        <v/>
      </c>
      <c r="I12" s="3" t="inlineStr"/>
      <c r="J12" s="3" t="inlineStr"/>
    </row>
    <row r="13" ht="35" customHeight="1">
      <c r="A13" s="2" t="inlineStr">
        <is>
          <t>P-1.7</t>
        </is>
      </c>
      <c r="B13" s="2" t="inlineStr">
        <is>
          <t>第 1 章</t>
        </is>
      </c>
      <c r="C13" s="2" t="inlineStr">
        <is>
          <t>背景篇幅</t>
        </is>
      </c>
      <c r="D13" s="3" t="inlineStr">
        <is>
          <t>背景 &gt; 1.5 页，写成教科书</t>
        </is>
      </c>
      <c r="E13" s="6" t="n">
        <v>1</v>
      </c>
      <c r="F13" s="3" t="n">
        <v>0.5</v>
      </c>
      <c r="G13" s="3" t="inlineStr">
        <is>
          <t>否</t>
        </is>
      </c>
      <c r="H13" s="3">
        <f>IF(G13="是",F13,IF(G13="部分",F13*0.5,0))</f>
        <v/>
      </c>
      <c r="I13" s="3" t="inlineStr"/>
      <c r="J13" s="3" t="inlineStr"/>
    </row>
    <row r="14" ht="35" customHeight="1">
      <c r="A14" s="2" t="inlineStr">
        <is>
          <t>P-1.8</t>
        </is>
      </c>
      <c r="B14" s="2" t="inlineStr">
        <is>
          <t>第 1 章</t>
        </is>
      </c>
      <c r="C14" s="2" t="inlineStr">
        <is>
          <t>文献堆砌</t>
        </is>
      </c>
      <c r="D14" s="3" t="inlineStr">
        <is>
          <t>20+ 篇文献无评价，无"该方法不足"引出</t>
        </is>
      </c>
      <c r="E14" s="4" t="n">
        <v>2</v>
      </c>
      <c r="F14" s="3" t="n">
        <v>1</v>
      </c>
      <c r="G14" s="3" t="inlineStr">
        <is>
          <t>否</t>
        </is>
      </c>
      <c r="H14" s="3">
        <f>IF(G14="是",F14,IF(G14="部分",F14*0.5,0))</f>
        <v/>
      </c>
      <c r="I14" s="3" t="inlineStr"/>
      <c r="J14" s="3" t="inlineStr"/>
    </row>
    <row r="15" ht="35" customHeight="1">
      <c r="A15" s="2" t="inlineStr">
        <is>
          <t>P-1.9</t>
        </is>
      </c>
      <c r="B15" s="2" t="inlineStr">
        <is>
          <t>第 1 章</t>
        </is>
      </c>
      <c r="C15" s="2" t="inlineStr">
        <is>
          <t>不足凑数</t>
        </is>
      </c>
      <c r="D15" s="3" t="inlineStr">
        <is>
          <t>列 5 条不足，后文只解决 2 条</t>
        </is>
      </c>
      <c r="E15" s="6" t="n">
        <v>1</v>
      </c>
      <c r="F15" s="3" t="n">
        <v>0.5</v>
      </c>
      <c r="G15" s="3" t="inlineStr">
        <is>
          <t>否</t>
        </is>
      </c>
      <c r="H15" s="3">
        <f>IF(G15="是",F15,IF(G15="部分",F15*0.5,0))</f>
        <v/>
      </c>
      <c r="I15" s="3" t="inlineStr"/>
      <c r="J15" s="3" t="inlineStr"/>
    </row>
    <row r="16" ht="35" customHeight="1">
      <c r="A16" s="2" t="inlineStr">
        <is>
          <t>P-1.10</t>
        </is>
      </c>
      <c r="B16" s="2" t="inlineStr">
        <is>
          <t>第 1 章</t>
        </is>
      </c>
      <c r="C16" s="2" t="inlineStr">
        <is>
          <t>无导览</t>
        </is>
      </c>
      <c r="D16" s="3" t="inlineStr">
        <is>
          <t>1.5 节缺失或只写"第 2 章讲相关工作"</t>
        </is>
      </c>
      <c r="E16" s="6" t="n">
        <v>1</v>
      </c>
      <c r="F16" s="3" t="n">
        <v>0.5</v>
      </c>
      <c r="G16" s="3" t="inlineStr">
        <is>
          <t>否</t>
        </is>
      </c>
      <c r="H16" s="3">
        <f>IF(G16="是",F16,IF(G16="部分",F16*0.5,0))</f>
        <v/>
      </c>
      <c r="I16" s="3" t="inlineStr"/>
      <c r="J16" s="3" t="inlineStr"/>
    </row>
    <row r="17" ht="35" customHeight="1">
      <c r="A17" s="2" t="inlineStr">
        <is>
          <t>P-2.1</t>
        </is>
      </c>
      <c r="B17" s="2" t="inlineStr">
        <is>
          <t>第 2 章</t>
        </is>
      </c>
      <c r="C17" s="2" t="inlineStr">
        <is>
          <t>知识科普</t>
        </is>
      </c>
      <c r="D17" s="3" t="inlineStr">
        <is>
          <t>花 2 页讲 CNN/LSTM 数学公式</t>
        </is>
      </c>
      <c r="E17" s="6" t="n">
        <v>1</v>
      </c>
      <c r="F17" s="3" t="n">
        <v>0.5</v>
      </c>
      <c r="G17" s="3" t="inlineStr">
        <is>
          <t>否</t>
        </is>
      </c>
      <c r="H17" s="3">
        <f>IF(G17="是",F17,IF(G17="部分",F17*0.5,0))</f>
        <v/>
      </c>
      <c r="I17" s="3" t="inlineStr"/>
      <c r="J17" s="3" t="inlineStr"/>
    </row>
    <row r="18" ht="35" customHeight="1">
      <c r="A18" s="2" t="inlineStr">
        <is>
          <t>P-2.2</t>
        </is>
      </c>
      <c r="B18" s="2" t="inlineStr">
        <is>
          <t>第 2 章</t>
        </is>
      </c>
      <c r="C18" s="2" t="inlineStr">
        <is>
          <t>缺对比表</t>
        </is>
      </c>
      <c r="D18" s="3" t="inlineStr">
        <is>
          <t>纯文字描述 20+ 篇文献优缺点</t>
        </is>
      </c>
      <c r="E18" s="4" t="n">
        <v>2</v>
      </c>
      <c r="F18" s="3" t="n">
        <v>1</v>
      </c>
      <c r="G18" s="3" t="inlineStr">
        <is>
          <t>否</t>
        </is>
      </c>
      <c r="H18" s="3">
        <f>IF(G18="是",F18,IF(G18="部分",F18*0.5,0))</f>
        <v/>
      </c>
      <c r="I18" s="3" t="inlineStr"/>
      <c r="J18" s="3" t="inlineStr"/>
    </row>
    <row r="19" ht="35" customHeight="1">
      <c r="A19" s="2" t="inlineStr">
        <is>
          <t>P-2.3</t>
        </is>
      </c>
      <c r="B19" s="2" t="inlineStr">
        <is>
          <t>第 2 章</t>
        </is>
      </c>
      <c r="C19" s="2" t="inlineStr">
        <is>
          <t>引用格式</t>
        </is>
      </c>
      <c r="D19" s="3" t="inlineStr">
        <is>
          <t>GB/T 7714、IEEE、APA 混用</t>
        </is>
      </c>
      <c r="E19" s="6" t="n">
        <v>1</v>
      </c>
      <c r="F19" s="3" t="n">
        <v>0.5</v>
      </c>
      <c r="G19" s="3" t="inlineStr">
        <is>
          <t>否</t>
        </is>
      </c>
      <c r="H19" s="3">
        <f>IF(G19="是",F19,IF(G19="部分",F19*0.5,0))</f>
        <v/>
      </c>
      <c r="I19" s="3" t="inlineStr"/>
      <c r="J19" s="3" t="inlineStr"/>
    </row>
    <row r="20" ht="35" customHeight="1">
      <c r="A20" s="2" t="inlineStr">
        <is>
          <t>P-2.4</t>
        </is>
      </c>
      <c r="B20" s="2" t="inlineStr">
        <is>
          <t>第 2 章</t>
        </is>
      </c>
      <c r="C20" s="2" t="inlineStr">
        <is>
          <t>自引不当</t>
        </is>
      </c>
      <c r="D20" s="3" t="inlineStr">
        <is>
          <t>自引 0 次（缺）或 5+ 次（过）</t>
        </is>
      </c>
      <c r="E20" s="6" t="n">
        <v>1</v>
      </c>
      <c r="F20" s="3" t="n">
        <v>0.5</v>
      </c>
      <c r="G20" s="3" t="inlineStr">
        <is>
          <t>否</t>
        </is>
      </c>
      <c r="H20" s="3">
        <f>IF(G20="是",F20,IF(G20="部分",F20*0.5,0))</f>
        <v/>
      </c>
      <c r="I20" s="3" t="inlineStr"/>
      <c r="J20" s="3" t="inlineStr"/>
    </row>
    <row r="21" ht="35" customHeight="1">
      <c r="A21" s="2" t="inlineStr">
        <is>
          <t>P-3.1</t>
        </is>
      </c>
      <c r="B21" s="2" t="inlineStr">
        <is>
          <t>方法层</t>
        </is>
      </c>
      <c r="C21" s="2" t="inlineStr">
        <is>
          <t>无基线</t>
        </is>
      </c>
      <c r="D21" s="3" t="inlineStr">
        <is>
          <t>只报告本文方法，不与 SOTA 对比</t>
        </is>
      </c>
      <c r="E21" s="5" t="n">
        <v>3</v>
      </c>
      <c r="F21" s="3" t="n">
        <v>1.5</v>
      </c>
      <c r="G21" s="3" t="inlineStr">
        <is>
          <t>否</t>
        </is>
      </c>
      <c r="H21" s="3">
        <f>IF(G21="是",F21,IF(G21="部分",F21*0.5,0))</f>
        <v/>
      </c>
      <c r="I21" s="3" t="inlineStr"/>
      <c r="J21" s="3" t="inlineStr"/>
    </row>
    <row r="22" ht="35" customHeight="1">
      <c r="A22" s="2" t="inlineStr">
        <is>
          <t>P-3.2</t>
        </is>
      </c>
      <c r="B22" s="2" t="inlineStr">
        <is>
          <t>方法层</t>
        </is>
      </c>
      <c r="C22" s="2" t="inlineStr">
        <is>
          <t>消融不全</t>
        </is>
      </c>
      <c r="D22" s="3" t="inlineStr">
        <is>
          <t>只做 1 个 ablation；复杂方法应有 3-5 组</t>
        </is>
      </c>
      <c r="E22" s="5" t="n">
        <v>3</v>
      </c>
      <c r="F22" s="3" t="n">
        <v>1.5</v>
      </c>
      <c r="G22" s="3" t="inlineStr">
        <is>
          <t>否</t>
        </is>
      </c>
      <c r="H22" s="3">
        <f>IF(G22="是",F22,IF(G22="部分",F22*0.5,0))</f>
        <v/>
      </c>
      <c r="I22" s="3" t="inlineStr"/>
      <c r="J22" s="3" t="inlineStr"/>
    </row>
    <row r="23" ht="35" customHeight="1">
      <c r="A23" s="2" t="inlineStr">
        <is>
          <t>P-3.3</t>
        </is>
      </c>
      <c r="B23" s="2" t="inlineStr">
        <is>
          <t>方法层</t>
        </is>
      </c>
      <c r="C23" s="2" t="inlineStr">
        <is>
          <t>无显著性</t>
        </is>
      </c>
      <c r="D23" s="3" t="inlineStr">
        <is>
          <t>A=0.8340 vs B=0.8337 直接结论"A 优"，无 t 检验</t>
        </is>
      </c>
      <c r="E23" s="4" t="n">
        <v>2</v>
      </c>
      <c r="F23" s="3" t="n">
        <v>1</v>
      </c>
      <c r="G23" s="3" t="inlineStr">
        <is>
          <t>否</t>
        </is>
      </c>
      <c r="H23" s="3">
        <f>IF(G23="是",F23,IF(G23="部分",F23*0.5,0))</f>
        <v/>
      </c>
      <c r="I23" s="3" t="inlineStr"/>
      <c r="J23" s="3" t="inlineStr"/>
    </row>
    <row r="24" ht="35" customHeight="1">
      <c r="A24" s="2" t="inlineStr">
        <is>
          <t>P-3.4</t>
        </is>
      </c>
      <c r="B24" s="2" t="inlineStr">
        <is>
          <t>方法层</t>
        </is>
      </c>
      <c r="C24" s="2" t="inlineStr">
        <is>
          <t>复现性差</t>
        </is>
      </c>
      <c r="D24" s="3" t="inlineStr">
        <is>
          <t>无随机种子、硬件、超参、数据划分</t>
        </is>
      </c>
      <c r="E24" s="4" t="n">
        <v>2</v>
      </c>
      <c r="F24" s="3" t="n">
        <v>1</v>
      </c>
      <c r="G24" s="3" t="inlineStr">
        <is>
          <t>否</t>
        </is>
      </c>
      <c r="H24" s="3">
        <f>IF(G24="是",F24,IF(G24="部分",F24*0.5,0))</f>
        <v/>
      </c>
      <c r="I24" s="3" t="inlineStr"/>
      <c r="J24" s="3" t="inlineStr"/>
    </row>
    <row r="25" ht="35" customHeight="1">
      <c r="A25" s="2" t="inlineStr">
        <is>
          <t>P-4.1</t>
        </is>
      </c>
      <c r="B25" s="2" t="inlineStr">
        <is>
          <t>图表公式</t>
        </is>
      </c>
      <c r="C25" s="2" t="inlineStr">
        <is>
          <t>图编号</t>
        </is>
      </c>
      <c r="D25" s="3" t="inlineStr">
        <is>
          <t>图 3-2 写成图 3.2；图未引用</t>
        </is>
      </c>
      <c r="E25" s="6" t="n">
        <v>1</v>
      </c>
      <c r="F25" s="3" t="n">
        <v>0.5</v>
      </c>
      <c r="G25" s="3" t="inlineStr">
        <is>
          <t>否</t>
        </is>
      </c>
      <c r="H25" s="3">
        <f>IF(G25="是",F25,IF(G25="部分",F25*0.5,0))</f>
        <v/>
      </c>
      <c r="I25" s="3" t="inlineStr"/>
      <c r="J25" s="3" t="inlineStr"/>
    </row>
    <row r="26" ht="35" customHeight="1">
      <c r="A26" s="2" t="inlineStr">
        <is>
          <t>P-4.2</t>
        </is>
      </c>
      <c r="B26" s="2" t="inlineStr">
        <is>
          <t>图表公式</t>
        </is>
      </c>
      <c r="C26" s="2" t="inlineStr">
        <is>
          <t>表头不规范</t>
        </is>
      </c>
      <c r="D26" s="3" t="inlineStr">
        <is>
          <t>表头无单位；表注缺失；非三线表</t>
        </is>
      </c>
      <c r="E26" s="6" t="n">
        <v>1</v>
      </c>
      <c r="F26" s="3" t="n">
        <v>0.5</v>
      </c>
      <c r="G26" s="3" t="inlineStr">
        <is>
          <t>否</t>
        </is>
      </c>
      <c r="H26" s="3">
        <f>IF(G26="是",F26,IF(G26="部分",F26*0.5,0))</f>
        <v/>
      </c>
      <c r="I26" s="3" t="inlineStr"/>
      <c r="J26" s="3" t="inlineStr"/>
    </row>
    <row r="27" ht="35" customHeight="1">
      <c r="A27" s="2" t="inlineStr">
        <is>
          <t>P-4.3</t>
        </is>
      </c>
      <c r="B27" s="2" t="inlineStr">
        <is>
          <t>图表公式</t>
        </is>
      </c>
      <c r="C27" s="2" t="inlineStr">
        <is>
          <t>公式编号</t>
        </is>
      </c>
      <c r="D27" s="3" t="inlineStr">
        <is>
          <t>关键公式未编号；编号跨章不连续</t>
        </is>
      </c>
      <c r="E27" s="6" t="n">
        <v>1</v>
      </c>
      <c r="F27" s="3" t="n">
        <v>0.5</v>
      </c>
      <c r="G27" s="3" t="inlineStr">
        <is>
          <t>否</t>
        </is>
      </c>
      <c r="H27" s="3">
        <f>IF(G27="是",F27,IF(G27="部分",F27*0.5,0))</f>
        <v/>
      </c>
      <c r="I27" s="3" t="inlineStr"/>
      <c r="J27" s="3" t="inlineStr"/>
    </row>
    <row r="28" ht="35" customHeight="1">
      <c r="A28" s="2" t="inlineStr">
        <is>
          <t>P-5.1</t>
        </is>
      </c>
      <c r="B28" s="2" t="inlineStr">
        <is>
          <t>写作排版</t>
        </is>
      </c>
      <c r="C28" s="2" t="inlineStr">
        <is>
          <t>长句/口语</t>
        </is>
      </c>
      <c r="D28" s="3" t="inlineStr">
        <is>
          <t>句子 &gt; 50 字；"我们认为"多次出现</t>
        </is>
      </c>
      <c r="E28" s="6" t="n">
        <v>1</v>
      </c>
      <c r="F28" s="3" t="n">
        <v>0.5</v>
      </c>
      <c r="G28" s="3" t="inlineStr">
        <is>
          <t>否</t>
        </is>
      </c>
      <c r="H28" s="3">
        <f>IF(G28="是",F28,IF(G28="部分",F28*0.5,0))</f>
        <v/>
      </c>
      <c r="I28" s="3" t="inlineStr"/>
      <c r="J28" s="3" t="inlineStr"/>
    </row>
    <row r="29" ht="35" customHeight="1">
      <c r="A29" s="2" t="inlineStr">
        <is>
          <t>P-5.2</t>
        </is>
      </c>
      <c r="B29" s="2" t="inlineStr">
        <is>
          <t>写作排版</t>
        </is>
      </c>
      <c r="C29" s="2" t="inlineStr">
        <is>
          <t>标题层级</t>
        </is>
      </c>
      <c r="D29" s="3" t="inlineStr">
        <is>
          <t>三级跳五级；同级标题句式不平行</t>
        </is>
      </c>
      <c r="E29" s="6" t="n">
        <v>1</v>
      </c>
      <c r="F29" s="3" t="n">
        <v>0.5</v>
      </c>
      <c r="G29" s="3" t="inlineStr">
        <is>
          <t>否</t>
        </is>
      </c>
      <c r="H29" s="3">
        <f>IF(G29="是",F29,IF(G29="部分",F29*0.5,0))</f>
        <v/>
      </c>
      <c r="I29" s="3" t="inlineStr"/>
      <c r="J29" s="3" t="inlineStr"/>
    </row>
    <row r="30" ht="35" customHeight="1">
      <c r="A30" s="2" t="inlineStr">
        <is>
          <t>P-5.3</t>
        </is>
      </c>
      <c r="B30" s="2" t="inlineStr">
        <is>
          <t>写作排版</t>
        </is>
      </c>
      <c r="C30" s="2" t="inlineStr">
        <is>
          <t>致谢失控</t>
        </is>
      </c>
      <c r="D30" s="3" t="inlineStr">
        <is>
          <t>致谢 1 页 +</t>
        </is>
      </c>
      <c r="E30" s="6" t="n">
        <v>1</v>
      </c>
      <c r="F30" s="3" t="n">
        <v>0.5</v>
      </c>
      <c r="G30" s="3" t="inlineStr">
        <is>
          <t>否</t>
        </is>
      </c>
      <c r="H30" s="3">
        <f>IF(G30="是",F30,IF(G30="部分",F30*0.5,0))</f>
        <v/>
      </c>
      <c r="I30" s="3" t="inlineStr"/>
      <c r="J30" s="3" t="inlineStr"/>
    </row>
    <row r="31" ht="35" customHeight="1">
      <c r="A31" s="2" t="inlineStr">
        <is>
          <t>P-6.1</t>
        </is>
      </c>
      <c r="B31" s="2" t="inlineStr">
        <is>
          <t>参考文献</t>
        </is>
      </c>
      <c r="C31" s="2" t="inlineStr">
        <is>
          <t>数量过少</t>
        </is>
      </c>
      <c r="D31" s="3" t="inlineStr">
        <is>
          <t>15 篇以下；或 2010 年前文献过多</t>
        </is>
      </c>
      <c r="E31" s="6" t="n">
        <v>1</v>
      </c>
      <c r="F31" s="3" t="n">
        <v>0.5</v>
      </c>
      <c r="G31" s="3" t="inlineStr">
        <is>
          <t>否</t>
        </is>
      </c>
      <c r="H31" s="3">
        <f>IF(G31="是",F31,IF(G31="部分",F31*0.5,0))</f>
        <v/>
      </c>
      <c r="I31" s="3" t="inlineStr"/>
      <c r="J31" s="3" t="inlineStr"/>
    </row>
    <row r="32" ht="35" customHeight="1">
      <c r="A32" s="2" t="inlineStr">
        <is>
          <t>P-6.2</t>
        </is>
      </c>
      <c r="B32" s="2" t="inlineStr">
        <is>
          <t>参考文献</t>
        </is>
      </c>
      <c r="C32" s="2" t="inlineStr">
        <is>
          <t>类型混淆</t>
        </is>
      </c>
      <c r="D32" s="3" t="inlineStr">
        <is>
          <t>arXiv 当正式发表；会议标 Journal</t>
        </is>
      </c>
      <c r="E32" s="6" t="n">
        <v>1</v>
      </c>
      <c r="F32" s="3" t="n">
        <v>0.5</v>
      </c>
      <c r="G32" s="3" t="inlineStr">
        <is>
          <t>否</t>
        </is>
      </c>
      <c r="H32" s="3">
        <f>IF(G32="是",F32,IF(G32="部分",F32*0.5,0))</f>
        <v/>
      </c>
      <c r="I32" s="3" t="inlineStr"/>
      <c r="J32" s="3" t="inlineStr"/>
    </row>
    <row r="33" ht="35" customHeight="1">
      <c r="A33" s="2" t="inlineStr">
        <is>
          <t>P-7.1</t>
        </is>
      </c>
      <c r="B33" s="2" t="inlineStr">
        <is>
          <t>答辩准备</t>
        </is>
      </c>
      <c r="C33" s="2" t="inlineStr">
        <is>
          <t>PPT 不一致</t>
        </is>
      </c>
      <c r="D33" s="3" t="inlineStr">
        <is>
          <t>PPT 与论文关键数字不同</t>
        </is>
      </c>
      <c r="E33" s="4" t="n">
        <v>2</v>
      </c>
      <c r="F33" s="3" t="n">
        <v>1</v>
      </c>
      <c r="G33" s="3" t="inlineStr">
        <is>
          <t>否</t>
        </is>
      </c>
      <c r="H33" s="3">
        <f>IF(G33="是",F33,IF(G33="部分",F33*0.5,0))</f>
        <v/>
      </c>
      <c r="I33" s="3" t="inlineStr"/>
      <c r="J33" s="3" t="inlineStr"/>
    </row>
    <row r="34" ht="35" customHeight="1">
      <c r="A34" s="2" t="inlineStr">
        <is>
          <t>P-7.2</t>
        </is>
      </c>
      <c r="B34" s="2" t="inlineStr">
        <is>
          <t>答辩准备</t>
        </is>
      </c>
      <c r="C34" s="2" t="inlineStr">
        <is>
          <t>不能回答</t>
        </is>
      </c>
      <c r="D34" s="3" t="inlineStr">
        <is>
          <t>"为什么不用 Transformer？""INT8 误差多大？"等核心问题无答案</t>
        </is>
      </c>
      <c r="E34" s="4" t="n">
        <v>2</v>
      </c>
      <c r="F34" s="3" t="n">
        <v>1</v>
      </c>
      <c r="G34" s="3" t="inlineStr">
        <is>
          <t>否</t>
        </is>
      </c>
      <c r="H34" s="3">
        <f>IF(G34="是",F34,IF(G34="部分",F34*0.5,0))</f>
        <v/>
      </c>
      <c r="I34" s="3" t="inlineStr"/>
      <c r="J34" s="3" t="inlineStr"/>
    </row>
    <row r="36">
      <c r="A36" s="7" t="inlineStr">
        <is>
          <t>汇总</t>
        </is>
      </c>
      <c r="B36" s="8" t="n"/>
      <c r="C36" s="8" t="n"/>
      <c r="D36" s="8" t="n"/>
      <c r="E36" s="8" t="n"/>
      <c r="F36" s="8" t="n"/>
      <c r="G36" s="9">
        <f>COUNTIF(G2:G34,"是")</f>
        <v/>
      </c>
      <c r="H36" s="9">
        <f>SUM(H2:H34)</f>
        <v/>
      </c>
      <c r="I36" s="10" t="inlineStr">
        <is>
          <t>（出现 / 扣分）</t>
        </is>
      </c>
      <c r="J36" s="8" t="n"/>
    </row>
  </sheetData>
  <mergeCells count="2">
    <mergeCell ref="A36:F36"/>
    <mergeCell ref="I36:J36"/>
  </mergeCells>
  <conditionalFormatting sqref="A2:J34">
    <cfRule type="expression" priority="1" dxfId="0">
      <formula>$H2&gt;0</formula>
    </cfRule>
  </conditionalFormatting>
  <dataValidations count="33">
    <dataValidation sqref="G2" showDropDown="0" showInputMessage="0" showErrorMessage="0" allowBlank="0" type="list">
      <formula1>"是,否,部分"</formula1>
    </dataValidation>
    <dataValidation sqref="G3" showDropDown="0" showInputMessage="0" showErrorMessage="0" allowBlank="0" type="list">
      <formula1>"是,否,部分"</formula1>
    </dataValidation>
    <dataValidation sqref="G4" showDropDown="0" showInputMessage="0" showErrorMessage="0" allowBlank="0" type="list">
      <formula1>"是,否,部分"</formula1>
    </dataValidation>
    <dataValidation sqref="G5" showDropDown="0" showInputMessage="0" showErrorMessage="0" allowBlank="0" type="list">
      <formula1>"是,否,部分"</formula1>
    </dataValidation>
    <dataValidation sqref="G6" showDropDown="0" showInputMessage="0" showErrorMessage="0" allowBlank="0" type="list">
      <formula1>"是,否,部分"</formula1>
    </dataValidation>
    <dataValidation sqref="G7" showDropDown="0" showInputMessage="0" showErrorMessage="0" allowBlank="0" type="list">
      <formula1>"是,否,部分"</formula1>
    </dataValidation>
    <dataValidation sqref="G8" showDropDown="0" showInputMessage="0" showErrorMessage="0" allowBlank="0" type="list">
      <formula1>"是,否,部分"</formula1>
    </dataValidation>
    <dataValidation sqref="G9" showDropDown="0" showInputMessage="0" showErrorMessage="0" allowBlank="0" type="list">
      <formula1>"是,否,部分"</formula1>
    </dataValidation>
    <dataValidation sqref="G10" showDropDown="0" showInputMessage="0" showErrorMessage="0" allowBlank="0" type="list">
      <formula1>"是,否,部分"</formula1>
    </dataValidation>
    <dataValidation sqref="G11" showDropDown="0" showInputMessage="0" showErrorMessage="0" allowBlank="0" type="list">
      <formula1>"是,否,部分"</formula1>
    </dataValidation>
    <dataValidation sqref="G12" showDropDown="0" showInputMessage="0" showErrorMessage="0" allowBlank="0" type="list">
      <formula1>"是,否,部分"</formula1>
    </dataValidation>
    <dataValidation sqref="G13" showDropDown="0" showInputMessage="0" showErrorMessage="0" allowBlank="0" type="list">
      <formula1>"是,否,部分"</formula1>
    </dataValidation>
    <dataValidation sqref="G14" showDropDown="0" showInputMessage="0" showErrorMessage="0" allowBlank="0" type="list">
      <formula1>"是,否,部分"</formula1>
    </dataValidation>
    <dataValidation sqref="G15" showDropDown="0" showInputMessage="0" showErrorMessage="0" allowBlank="0" type="list">
      <formula1>"是,否,部分"</formula1>
    </dataValidation>
    <dataValidation sqref="G16" showDropDown="0" showInputMessage="0" showErrorMessage="0" allowBlank="0" type="list">
      <formula1>"是,否,部分"</formula1>
    </dataValidation>
    <dataValidation sqref="G17" showDropDown="0" showInputMessage="0" showErrorMessage="0" allowBlank="0" type="list">
      <formula1>"是,否,部分"</formula1>
    </dataValidation>
    <dataValidation sqref="G18" showDropDown="0" showInputMessage="0" showErrorMessage="0" allowBlank="0" type="list">
      <formula1>"是,否,部分"</formula1>
    </dataValidation>
    <dataValidation sqref="G19" showDropDown="0" showInputMessage="0" showErrorMessage="0" allowBlank="0" type="list">
      <formula1>"是,否,部分"</formula1>
    </dataValidation>
    <dataValidation sqref="G20" showDropDown="0" showInputMessage="0" showErrorMessage="0" allowBlank="0" type="list">
      <formula1>"是,否,部分"</formula1>
    </dataValidation>
    <dataValidation sqref="G21" showDropDown="0" showInputMessage="0" showErrorMessage="0" allowBlank="0" type="list">
      <formula1>"是,否,部分"</formula1>
    </dataValidation>
    <dataValidation sqref="G22" showDropDown="0" showInputMessage="0" showErrorMessage="0" allowBlank="0" type="list">
      <formula1>"是,否,部分"</formula1>
    </dataValidation>
    <dataValidation sqref="G23" showDropDown="0" showInputMessage="0" showErrorMessage="0" allowBlank="0" type="list">
      <formula1>"是,否,部分"</formula1>
    </dataValidation>
    <dataValidation sqref="G24" showDropDown="0" showInputMessage="0" showErrorMessage="0" allowBlank="0" type="list">
      <formula1>"是,否,部分"</formula1>
    </dataValidation>
    <dataValidation sqref="G25" showDropDown="0" showInputMessage="0" showErrorMessage="0" allowBlank="0" type="list">
      <formula1>"是,否,部分"</formula1>
    </dataValidation>
    <dataValidation sqref="G26" showDropDown="0" showInputMessage="0" showErrorMessage="0" allowBlank="0" type="list">
      <formula1>"是,否,部分"</formula1>
    </dataValidation>
    <dataValidation sqref="G27" showDropDown="0" showInputMessage="0" showErrorMessage="0" allowBlank="0" type="list">
      <formula1>"是,否,部分"</formula1>
    </dataValidation>
    <dataValidation sqref="G28" showDropDown="0" showInputMessage="0" showErrorMessage="0" allowBlank="0" type="list">
      <formula1>"是,否,部分"</formula1>
    </dataValidation>
    <dataValidation sqref="G29" showDropDown="0" showInputMessage="0" showErrorMessage="0" allowBlank="0" type="list">
      <formula1>"是,否,部分"</formula1>
    </dataValidation>
    <dataValidation sqref="G30" showDropDown="0" showInputMessage="0" showErrorMessage="0" allowBlank="0" type="list">
      <formula1>"是,否,部分"</formula1>
    </dataValidation>
    <dataValidation sqref="G31" showDropDown="0" showInputMessage="0" showErrorMessage="0" allowBlank="0" type="list">
      <formula1>"是,否,部分"</formula1>
    </dataValidation>
    <dataValidation sqref="G32" showDropDown="0" showInputMessage="0" showErrorMessage="0" allowBlank="0" type="list">
      <formula1>"是,否,部分"</formula1>
    </dataValidation>
    <dataValidation sqref="G33" showDropDown="0" showInputMessage="0" showErrorMessage="0" allowBlank="0" type="list">
      <formula1>"是,否,部分"</formula1>
    </dataValidation>
    <dataValidation sqref="G34" showDropDown="0" showInputMessage="0" showErrorMessage="0" allowBlank="0" type="list">
      <formula1>"是,否,部分"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12" customWidth="1" min="4" max="4"/>
    <col width="12" customWidth="1" min="5" max="5"/>
  </cols>
  <sheetData>
    <row r="1" ht="30" customHeight="1">
      <c r="A1" s="11" t="inlineStr">
        <is>
          <t>硕士论文评阅 — 8 维度评分汇总</t>
        </is>
      </c>
    </row>
    <row r="2" ht="6" customHeight="1"/>
    <row r="3">
      <c r="A3" s="1" t="inlineStr">
        <is>
          <t>维度</t>
        </is>
      </c>
      <c r="B3" s="1" t="inlineStr">
        <is>
          <t>满分</t>
        </is>
      </c>
      <c r="C3" s="1" t="inlineStr">
        <is>
          <t>扣分（来自对照表）</t>
        </is>
      </c>
      <c r="D3" s="1" t="inlineStr">
        <is>
          <t>实得分</t>
        </is>
      </c>
      <c r="E3" s="1" t="inlineStr">
        <is>
          <t>评级</t>
        </is>
      </c>
    </row>
    <row r="4">
      <c r="A4" s="3" t="inlineStr">
        <is>
          <t>选题意义</t>
        </is>
      </c>
      <c r="B4" s="12" t="n">
        <v>1</v>
      </c>
      <c r="C4" s="12" t="n">
        <v>0</v>
      </c>
      <c r="D4" s="12">
        <f>MAX(0,B4-C4)</f>
        <v/>
      </c>
      <c r="E4" s="12">
        <f>IF(D4/B4&gt;=0.85,"优",IF(D4/B4&gt;=0.7,"良",IF(D4/B4&gt;=0.55,"中","差")))</f>
        <v/>
      </c>
    </row>
    <row r="5">
      <c r="A5" s="3" t="inlineStr">
        <is>
          <t>创新点</t>
        </is>
      </c>
      <c r="B5" s="12" t="n">
        <v>2</v>
      </c>
      <c r="C5" s="12">
        <f>SUMIF(评阅对照表!A:A,"P-0.2",评阅对照表!H:H)+SUMIF(评阅对照表!A:A,"P-0.3",评阅对照表!H:H)+SUMIF(评阅对照表!A:A,"P-0.5",评阅对照表!H:H)+SUMIF(评阅对照表!A:A,"P-1.5",评阅对照表!H:H)+SUMIF(评阅对照表!A:A,"P-1.9",评阅对照表!H:H)</f>
        <v/>
      </c>
      <c r="D5" s="12">
        <f>MAX(0,B5-C5)</f>
        <v/>
      </c>
      <c r="E5" s="12">
        <f>IF(D5/B5&gt;=0.85,"优",IF(D5/B5&gt;=0.7,"良",IF(D5/B5&gt;=0.55,"中","差")))</f>
        <v/>
      </c>
    </row>
    <row r="6">
      <c r="A6" s="3" t="inlineStr">
        <is>
          <t>文献综述</t>
        </is>
      </c>
      <c r="B6" s="12" t="n">
        <v>1</v>
      </c>
      <c r="C6" s="12">
        <f>SUMIF(评阅对照表!A:A,"P-1.1",评阅对照表!H:H)+SUMIF(评阅对照表!A:A,"P-1.8",评阅对照表!H:H)+SUMIF(评阅对照表!A:A,"P-2.1",评阅对照表!H:H)</f>
        <v/>
      </c>
      <c r="D6" s="12">
        <f>MAX(0,B6-C6)</f>
        <v/>
      </c>
      <c r="E6" s="12">
        <f>IF(D6/B6&gt;=0.85,"优",IF(D6/B6&gt;=0.7,"良",IF(D6/B6&gt;=0.55,"中","差")))</f>
        <v/>
      </c>
    </row>
    <row r="7">
      <c r="A7" s="3" t="inlineStr">
        <is>
          <t>方法合理性</t>
        </is>
      </c>
      <c r="B7" s="12" t="n">
        <v>2</v>
      </c>
      <c r="C7" s="12">
        <f>SUMIF(评阅对照表!A:A,"P-0.1",评阅对照表!H:H)+SUMIF(评阅对照表!A:A,"P-3.4",评阅对照表!H:H)+SUMIF(评阅对照表!A:A,"P-7.2",评阅对照表!H:H)</f>
        <v/>
      </c>
      <c r="D7" s="12">
        <f>MAX(0,B7-C7)</f>
        <v/>
      </c>
      <c r="E7" s="12">
        <f>IF(D7/B7&gt;=0.85,"优",IF(D7/B7&gt;=0.7,"良",IF(D7/B7&gt;=0.55,"中","差")))</f>
        <v/>
      </c>
    </row>
    <row r="8">
      <c r="A8" s="3" t="inlineStr">
        <is>
          <t>实验与结果</t>
        </is>
      </c>
      <c r="B8" s="12" t="n">
        <v>2</v>
      </c>
      <c r="C8" s="12">
        <f>SUMIF(评阅对照表!A:A,"P-3.1",评阅对照表!H:H)+SUMIF(评阅对照表!A:A,"P-3.2",评阅对照表!H:H)+SUMIF(评阅对照表!A:A,"P-3.3",评阅对照表!H:H)</f>
        <v/>
      </c>
      <c r="D8" s="12">
        <f>MAX(0,B8-C8)</f>
        <v/>
      </c>
      <c r="E8" s="12">
        <f>IF(D8/B8&gt;=0.85,"优",IF(D8/B8&gt;=0.7,"良",IF(D8/B8&gt;=0.55,"中","差")))</f>
        <v/>
      </c>
    </row>
    <row r="9">
      <c r="A9" s="3" t="inlineStr">
        <is>
          <t>写作规范</t>
        </is>
      </c>
      <c r="B9" s="12" t="n">
        <v>1</v>
      </c>
      <c r="C9" s="12">
        <f>SUMIF(评阅对照表!A:A,"P-0.4",评阅对照表!H:H)+SUMIF(评阅对照表!A:A,"P-1.2",评阅对照表!H:H)+SUMIF(评阅对照表!A:A,"P-1.3",评阅对照表!H:H)+SUMIF(评阅对照表!A:A,"P-1.4",评阅对照表!H:H)+SUMIF(评阅对照表!A:A,"P-1.6",评阅对照表!H:H)+SUMIF(评阅对照表!A:A,"P-1.7",评阅对照表!H:H)+SUMIF(评阅对照表!A:A,"P-1.10",评阅对照表!H:H)+SUMIF(评阅对照表!A:A,"P-5.1",评阅对照表!H:H)+SUMIF(评阅对照表!A:A,"P-5.2",评阅对照表!H:H)+SUMIF(评阅对照表!A:A,"P-5.3",评阅对照表!H:H)+SUMIF(评阅对照表!A:A,"P-7.1",评阅对照表!H:H)</f>
        <v/>
      </c>
      <c r="D9" s="12">
        <f>MAX(0,B9-C9)</f>
        <v/>
      </c>
      <c r="E9" s="12">
        <f>IF(D9/B9&gt;=0.85,"优",IF(D9/B9&gt;=0.7,"良",IF(D9/B9&gt;=0.55,"中","差")))</f>
        <v/>
      </c>
    </row>
    <row r="10">
      <c r="A10" s="3" t="inlineStr">
        <is>
          <t>图表质量</t>
        </is>
      </c>
      <c r="B10" s="12" t="n">
        <v>0.5</v>
      </c>
      <c r="C10" s="12">
        <f>SUMIF(评阅对照表!A:A,"P-2.2",评阅对照表!H:H)+SUMIF(评阅对照表!A:A,"P-4.1",评阅对照表!H:H)+SUMIF(评阅对照表!A:A,"P-4.2",评阅对照表!H:H)+SUMIF(评阅对照表!A:A,"P-4.3",评阅对照表!H:H)</f>
        <v/>
      </c>
      <c r="D10" s="12">
        <f>MAX(0,B10-C10)</f>
        <v/>
      </c>
      <c r="E10" s="12">
        <f>IF(D10/B10&gt;=0.85,"优",IF(D10/B10&gt;=0.7,"良",IF(D10/B10&gt;=0.55,"中","差")))</f>
        <v/>
      </c>
    </row>
    <row r="11">
      <c r="A11" s="3" t="inlineStr">
        <is>
          <t>参考文献</t>
        </is>
      </c>
      <c r="B11" s="12" t="n">
        <v>0.5</v>
      </c>
      <c r="C11" s="12">
        <f>SUMIF(评阅对照表!A:A,"P-2.3",评阅对照表!H:H)+SUMIF(评阅对照表!A:A,"P-2.4",评阅对照表!H:H)+SUMIF(评阅对照表!A:A,"P-6.1",评阅对照表!H:H)+SUMIF(评阅对照表!A:A,"P-6.2",评阅对照表!H:H)</f>
        <v/>
      </c>
      <c r="D11" s="12">
        <f>MAX(0,B11-C11)</f>
        <v/>
      </c>
      <c r="E11" s="12">
        <f>IF(D11/B11&gt;=0.85,"优",IF(D11/B11&gt;=0.7,"良",IF(D11/B11&gt;=0.55,"中","差")))</f>
        <v/>
      </c>
    </row>
    <row r="12">
      <c r="A12" s="13" t="inlineStr">
        <is>
          <t>总分</t>
        </is>
      </c>
      <c r="B12" s="13">
        <f>SUM(B4:B11)</f>
        <v/>
      </c>
      <c r="C12" s="13">
        <f>SUM(C4:C11)</f>
        <v/>
      </c>
      <c r="D12" s="13">
        <f>SUM(D4:D11)</f>
        <v/>
      </c>
      <c r="E12" s="13">
        <f>IF(D12&gt;=8,"优秀",IF(D12&gt;=6,"合格","需大改"))</f>
        <v/>
      </c>
    </row>
    <row r="14">
      <c r="A14" s="14" t="inlineStr">
        <is>
          <t>通过标准</t>
        </is>
      </c>
    </row>
    <row r="15">
      <c r="A15" s="15" t="inlineStr">
        <is>
          <t>≥ 8.0 优秀 | ≥ 6.0 合格 | &lt; 6.0 需大改后重审</t>
        </is>
      </c>
    </row>
  </sheetData>
  <mergeCells count="2">
    <mergeCell ref="A15:E15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45" customWidth="1" min="3" max="3"/>
    <col width="45" customWidth="1" min="4" max="4"/>
  </cols>
  <sheetData>
    <row r="1" ht="30" customHeight="1">
      <c r="A1" s="11" t="inlineStr">
        <is>
          <t>评分标准（10 分制，参考学校研究生论文评审标准）</t>
        </is>
      </c>
    </row>
    <row r="3">
      <c r="A3" s="1" t="inlineStr">
        <is>
          <t>维度</t>
        </is>
      </c>
      <c r="B3" s="1" t="inlineStr">
        <is>
          <t>满分</t>
        </is>
      </c>
      <c r="C3" s="1" t="inlineStr">
        <is>
          <t>评分要点</t>
        </is>
      </c>
      <c r="D3" s="1" t="inlineStr">
        <is>
          <t>不合格典型</t>
        </is>
      </c>
    </row>
    <row r="4" ht="50" customHeight="1">
      <c r="A4" s="2" t="inlineStr">
        <is>
          <t>选题意义</t>
        </is>
      </c>
      <c r="B4" s="2" t="n">
        <v>1</v>
      </c>
      <c r="C4" s="3" t="inlineStr">
        <is>
          <t>明确的应用场景；具体要解决的工程/科学问题；问题规模合理</t>
        </is>
      </c>
      <c r="D4" s="3" t="inlineStr">
        <is>
          <t>无应用场景；问题宽泛；选题过大或过小</t>
        </is>
      </c>
    </row>
    <row r="5" ht="50" customHeight="1">
      <c r="A5" s="2" t="inlineStr">
        <is>
          <t>创新点</t>
        </is>
      </c>
      <c r="B5" s="2" t="n">
        <v>2</v>
      </c>
      <c r="C5" s="3" t="inlineStr">
        <is>
          <t>每个创新点有量化指标；与现有工作对比清晰；3 大创新点对应 3 章</t>
        </is>
      </c>
      <c r="D5" s="3" t="inlineStr">
        <is>
          <t>"首次/首创"无引文；无对应章节；指标不可复现</t>
        </is>
      </c>
    </row>
    <row r="6" ht="50" customHeight="1">
      <c r="A6" s="2" t="inlineStr">
        <is>
          <t>文献综述</t>
        </is>
      </c>
      <c r="B6" s="2" t="n">
        <v>1</v>
      </c>
      <c r="C6" s="3" t="inlineStr">
        <is>
          <t>本领域代表工作齐全；每段有评价；含统一对比表</t>
        </is>
      </c>
      <c r="D6" s="3" t="inlineStr">
        <is>
          <t>堆砌 20+ 篇无评价；缺对比表；近 5 年文献 &lt; 60%</t>
        </is>
      </c>
    </row>
    <row r="7" ht="50" customHeight="1">
      <c r="A7" s="2" t="inlineStr">
        <is>
          <t>方法合理性</t>
        </is>
      </c>
      <c r="B7" s="2" t="n">
        <v>2</v>
      </c>
      <c r="C7" s="3" t="inlineStr">
        <is>
          <t>方法有理论依据；复杂度可控；可复现（种子/硬件/超参齐全）</t>
        </is>
      </c>
      <c r="D7" s="3" t="inlineStr">
        <is>
          <t>无理论动机；复杂度不可控；无法复现</t>
        </is>
      </c>
    </row>
    <row r="8" ht="50" customHeight="1">
      <c r="A8" s="2" t="inlineStr">
        <is>
          <t>实验与结果</t>
        </is>
      </c>
      <c r="B8" s="2" t="n">
        <v>2</v>
      </c>
      <c r="C8" s="3" t="inlineStr">
        <is>
          <t>基线 + SOTA + 本文方法 3 组对比；3-5 组消融；统计显著性检验</t>
        </is>
      </c>
      <c r="D8" s="3" t="inlineStr">
        <is>
          <t>无基线；无消融；单次实验下结论；无显著性</t>
        </is>
      </c>
    </row>
    <row r="9" ht="50" customHeight="1">
      <c r="A9" s="2" t="inlineStr">
        <is>
          <t>写作规范</t>
        </is>
      </c>
      <c r="B9" s="2" t="n">
        <v>1</v>
      </c>
      <c r="C9" s="3" t="inlineStr">
        <is>
          <t>句子 ≤ 50 字；术语一致；致谢 200-400 字；无错别字</t>
        </is>
      </c>
      <c r="D9" s="3" t="inlineStr">
        <is>
          <t>长句口语化；术语前后不一；致谢 1 页+；错别字多</t>
        </is>
      </c>
    </row>
    <row r="10" ht="50" customHeight="1">
      <c r="A10" s="2" t="inlineStr">
        <is>
          <t>图表质量</t>
        </is>
      </c>
      <c r="B10" s="2" t="n">
        <v>0.5</v>
      </c>
      <c r="C10" s="3" t="inlineStr">
        <is>
          <t>三线表；图编号引用一致；公式编号连续</t>
        </is>
      </c>
      <c r="D10" s="3" t="inlineStr">
        <is>
          <t>非三线表；图未引用；公式编号跨章不连续</t>
        </is>
      </c>
    </row>
    <row r="11" ht="50" customHeight="1">
      <c r="A11" s="2" t="inlineStr">
        <is>
          <t>参考文献</t>
        </is>
      </c>
      <c r="B11" s="2" t="n">
        <v>0.5</v>
      </c>
      <c r="C11" s="3" t="inlineStr">
        <is>
          <t>40-60 篇；近 5 年 ≥ 60%；GB/T 7714 格式；自引 1-2 次</t>
        </is>
      </c>
      <c r="D11" s="3" t="inlineStr">
        <is>
          <t>&lt; 15 篇；arXiv 当正式发表；格式混用；自引 5+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30" customHeight="1">
      <c r="A1" s="11" t="inlineStr">
        <is>
          <t>老师评阅流程 — 4 步 10 分钟</t>
        </is>
      </c>
    </row>
    <row r="3">
      <c r="A3" s="16" t="inlineStr">
        <is>
          <t>步骤 1</t>
        </is>
      </c>
      <c r="B3" s="17" t="inlineStr">
        <is>
          <t>打开"评阅对照表"，按 P-0.1 ~ P-7.2 顺序逐项检查（5 分钟）</t>
        </is>
      </c>
    </row>
    <row r="4">
      <c r="A4" s="18" t="inlineStr"/>
      <c r="B4" s="17" t="inlineStr">
        <is>
          <t>"是否出现"列：选"是 / 否 / 部分"，Excel 自动计算"实际扣分"</t>
        </is>
      </c>
    </row>
    <row r="5">
      <c r="A5" s="18" t="inlineStr"/>
      <c r="B5" s="17" t="inlineStr">
        <is>
          <t>"出现位置"列：填章节号或页码（例：第 3.2 节, p.42）</t>
        </is>
      </c>
    </row>
    <row r="6">
      <c r="A6" s="18" t="inlineStr"/>
      <c r="B6" s="17" t="inlineStr">
        <is>
          <t>"老师备注"列：记录具体问题（例：与 §3.1 数据矛盾）</t>
        </is>
      </c>
    </row>
    <row r="7">
      <c r="A7" s="18" t="inlineStr"/>
      <c r="B7" s="17" t="inlineStr"/>
    </row>
    <row r="8">
      <c r="A8" s="16" t="inlineStr">
        <is>
          <t>步骤 2</t>
        </is>
      </c>
      <c r="B8" s="17" t="inlineStr">
        <is>
          <t>对照表会自动加和：累计扣分 → 看右下方"汇总"行的扣分合计</t>
        </is>
      </c>
    </row>
    <row r="9">
      <c r="A9" s="18" t="inlineStr"/>
      <c r="B9" s="17" t="inlineStr"/>
    </row>
    <row r="10">
      <c r="A10" s="16" t="inlineStr">
        <is>
          <t>步骤 3</t>
        </is>
      </c>
      <c r="B10" s="17" t="inlineStr">
        <is>
          <t>切换到"评分汇总"Sheet — 8 维度按 PITFALL 自动汇总扣分；不需要手动算</t>
        </is>
      </c>
    </row>
    <row r="11">
      <c r="A11" s="18" t="inlineStr"/>
      <c r="B11" s="17" t="inlineStr">
        <is>
          <t>看右下角"总分"：≥ 8.0 优秀 / ≥ 6.0 合格 / &lt; 6.0 需大改</t>
        </is>
      </c>
    </row>
    <row r="12">
      <c r="A12" s="18" t="inlineStr"/>
      <c r="B12" s="17" t="inlineStr"/>
    </row>
    <row r="13">
      <c r="A13" s="16" t="inlineStr">
        <is>
          <t>步骤 4</t>
        </is>
      </c>
      <c r="B13" s="17" t="inlineStr">
        <is>
          <t>对照"评分标准"Sheet，与学生面谈时引用具体评分要点</t>
        </is>
      </c>
    </row>
    <row r="14">
      <c r="A14" s="18" t="inlineStr"/>
      <c r="B14" s="17" t="inlineStr"/>
    </row>
    <row r="15">
      <c r="A15" s="16" t="inlineStr">
        <is>
          <t>快捷操作</t>
        </is>
      </c>
      <c r="B15" s="17" t="inlineStr">
        <is>
          <t>① 在"是否出现"列单击单元格 → 出现下拉箭头 → 选"是"</t>
        </is>
      </c>
    </row>
    <row r="16">
      <c r="A16" s="18" t="inlineStr"/>
      <c r="B16" s="17" t="inlineStr">
        <is>
          <t>② 改完后按 F9 强制刷新公式（或关闭重开）</t>
        </is>
      </c>
    </row>
    <row r="17">
      <c r="A17" s="18" t="inlineStr"/>
      <c r="B17" s="17" t="inlineStr">
        <is>
          <t>③ 打印：选中"评阅对照表" + "评分汇总"两页 → 打印</t>
        </is>
      </c>
    </row>
    <row r="20">
      <c r="A20" s="19" t="inlineStr">
        <is>
          <t>文件信息</t>
        </is>
      </c>
      <c r="B20" s="20" t="inlineStr"/>
    </row>
    <row r="21">
      <c r="A21" s="21" t="inlineStr">
        <is>
          <t>文件名</t>
        </is>
      </c>
      <c r="B21" s="22" t="inlineStr">
        <is>
          <t>review-checklist.xlsx</t>
        </is>
      </c>
    </row>
    <row r="22">
      <c r="A22" s="21" t="inlineStr">
        <is>
          <t>生成日期</t>
        </is>
      </c>
      <c r="B22" s="22" t="inlineStr">
        <is>
          <t>2026-06-16</t>
        </is>
      </c>
    </row>
    <row r="23">
      <c r="A23" s="21" t="inlineStr">
        <is>
          <t>配套文档</t>
        </is>
      </c>
      <c r="B23" s="22" t="inlineStr">
        <is>
          <t>../student-pitfalls.md（33 类错误详解）</t>
        </is>
      </c>
    </row>
    <row r="24">
      <c r="A24" s="21" t="inlineStr">
        <is>
          <t>配套模板</t>
        </is>
      </c>
      <c r="B24" s="22" t="inlineStr">
        <is>
          <t>../main.tex（LaTeX 模板）/ thesis-template.docx（Word 模板）</t>
        </is>
      </c>
    </row>
    <row r="25">
      <c r="A25" s="21" t="inlineStr">
        <is>
          <t>生成脚本</t>
        </is>
      </c>
      <c r="B25" s="22" t="inlineStr">
        <is>
          <t>generate_checklist.py（可重新生成）</t>
        </is>
      </c>
    </row>
    <row r="26">
      <c r="A26" s="21" t="inlineStr">
        <is>
          <t>PITFALL 同步</t>
        </is>
      </c>
      <c r="B26" s="22" t="inlineStr">
        <is>
          <t>33 项与 student-pitfalls.md P-0.1 ~ P-7.2 一一对应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2026-06-16T13:09:00Z</dcterms:created>
  <dcterms:modified xmlns:dcterms="http://purl.org/dc/terms/" xmlns:xsi="http://www.w3.org/2001/XMLSchema-instance" xsi:type="dcterms:W3CDTF">2026-06-16T13:09:00Z</dcterms:modified>
</cp:coreProperties>
</file>